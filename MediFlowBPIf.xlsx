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e1d02a071aac7b3/Desktop/FacePrep internship/"/>
    </mc:Choice>
  </mc:AlternateContent>
  <xr:revisionPtr revIDLastSave="52" documentId="8_{39DB9027-0C12-4790-B67D-06A0288A12F6}" xr6:coauthVersionLast="47" xr6:coauthVersionMax="47" xr10:uidLastSave="{8E89E418-DF70-4D5E-A8F9-A74EF1271FE4}"/>
  <bookViews>
    <workbookView xWindow="-120" yWindow="-120" windowWidth="24240" windowHeight="14520" firstSheet="3" activeTab="6" xr2:uid="{00000000-000D-0000-FFFF-FFFF00000000}"/>
  </bookViews>
  <sheets>
    <sheet name="📊 Overview" sheetId="1" r:id="rId1"/>
    <sheet name="🧮 Risk Score Model" sheetId="2" r:id="rId2"/>
    <sheet name="📱 Chart 1 — SMS" sheetId="3" r:id="rId3"/>
    <sheet name="⏱️ Chart 2 — Lead Time" sheetId="4" r:id="rId4"/>
    <sheet name="👥 Chart 3 — Age Group" sheetId="5" r:id="rId5"/>
    <sheet name="📅 Chart 4 — Day of Week" sheetId="6" r:id="rId6"/>
    <sheet name="📈 Impact Estimation" sheetId="7" r:id="rId7"/>
    <sheet name="📋 Waitlist Track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F6" i="3"/>
</calcChain>
</file>

<file path=xl/sharedStrings.xml><?xml version="1.0" encoding="utf-8"?>
<sst xmlns="http://schemas.openxmlformats.org/spreadsheetml/2006/main" count="260" uniqueCount="194">
  <si>
    <t>MediFlow BPI Project — No-Show Analysis Dashboard</t>
  </si>
  <si>
    <t>Total Appointments</t>
  </si>
  <si>
    <t>No-Shows</t>
  </si>
  <si>
    <t>Showed Up</t>
  </si>
  <si>
    <t>No-Show Rate</t>
  </si>
  <si>
    <t>Avg Lead Time</t>
  </si>
  <si>
    <t>No-Show w/ SMS</t>
  </si>
  <si>
    <t>No-Show w/o SMS</t>
  </si>
  <si>
    <t>71,959</t>
  </si>
  <si>
    <t>20,522</t>
  </si>
  <si>
    <t>51,437</t>
  </si>
  <si>
    <t>28.5%</t>
  </si>
  <si>
    <t>15.2 days</t>
  </si>
  <si>
    <t>27.6%</t>
  </si>
  <si>
    <t>29.4%</t>
  </si>
  <si>
    <t>💡 Insight 1 — SMS Not Enough</t>
  </si>
  <si>
    <t>💡 Insight 2 — Lead Time Matters</t>
  </si>
  <si>
    <t>💡 Insight 3 — Young Patients Are High Risk</t>
  </si>
  <si>
    <t>Even with SMS, 27.6% of patients still don't show up vs 29.4% without SMS. Generic reminders alone don't work. Smart tiered reminders are needed.</t>
  </si>
  <si>
    <t>Same-day appointments have 21.4% no-show vs 33% for 30+ day bookings. The longer the wait, the higher the risk. Lead time must be in our scoring model.</t>
  </si>
  <si>
    <t>Patients aged 19–35 have the highest no-show rate at 34.2%. This age group needs automatic high-risk flagging and urgent confirmation requests.</t>
  </si>
  <si>
    <t>No-Show Risk Scoring Model — MediFlow System</t>
  </si>
  <si>
    <t>SCORING WEIGHTS</t>
  </si>
  <si>
    <t>Factor</t>
  </si>
  <si>
    <t>Weight</t>
  </si>
  <si>
    <t>Why It Matters</t>
  </si>
  <si>
    <t>Past No-Show History</t>
  </si>
  <si>
    <t>35%</t>
  </si>
  <si>
    <t>Strongest predictor — past behaviour = future behaviour</t>
  </si>
  <si>
    <t>Distance from Clinic</t>
  </si>
  <si>
    <t>20%</t>
  </si>
  <si>
    <t>Farther patients more likely to cancel on short notice</t>
  </si>
  <si>
    <t>Day of Week</t>
  </si>
  <si>
    <t>15%</t>
  </si>
  <si>
    <t>Monday/Friday have higher no-show rates</t>
  </si>
  <si>
    <t>Time of Appointment</t>
  </si>
  <si>
    <t>Early morning and late evening slots have higher risk</t>
  </si>
  <si>
    <t>Lead Time (days)</t>
  </si>
  <si>
    <t>Longer wait = higher chance of forgetting</t>
  </si>
  <si>
    <t>SAMPLE PATIENT RISK SCORES</t>
  </si>
  <si>
    <t>Patient</t>
  </si>
  <si>
    <t>Gender</t>
  </si>
  <si>
    <t>Age</t>
  </si>
  <si>
    <t>Past No-Shows</t>
  </si>
  <si>
    <t>Distance (km)</t>
  </si>
  <si>
    <t>Day</t>
  </si>
  <si>
    <t>Lead Time</t>
  </si>
  <si>
    <t>Raw Score</t>
  </si>
  <si>
    <t>Risk Level</t>
  </si>
  <si>
    <t>Action Required</t>
  </si>
  <si>
    <t>Ravi M.</t>
  </si>
  <si>
    <t>M</t>
  </si>
  <si>
    <t>Monday</t>
  </si>
  <si>
    <t>HIGH</t>
  </si>
  <si>
    <t>Urgent confirm × 2 (48hrs + 2hrs)</t>
  </si>
  <si>
    <t>Priya S.</t>
  </si>
  <si>
    <t>F</t>
  </si>
  <si>
    <t>Wednesday</t>
  </si>
  <si>
    <t>MEDIUM</t>
  </si>
  <si>
    <t>Reminder + confirm button</t>
  </si>
  <si>
    <t>Anjali K.</t>
  </si>
  <si>
    <t>Friday</t>
  </si>
  <si>
    <t>LOW</t>
  </si>
  <si>
    <t>Standard SMS reminder</t>
  </si>
  <si>
    <t>Suresh P.</t>
  </si>
  <si>
    <t>Saturday</t>
  </si>
  <si>
    <t>Meena R.</t>
  </si>
  <si>
    <t>Thursday</t>
  </si>
  <si>
    <t>Arjun T.</t>
  </si>
  <si>
    <t>Kavya N.</t>
  </si>
  <si>
    <t>Tuesday</t>
  </si>
  <si>
    <t>Dinesh K.</t>
  </si>
  <si>
    <t>Chart 1 — Does SMS Reminder Actually Reduce No-Shows?</t>
  </si>
  <si>
    <t>DATA TABLE</t>
  </si>
  <si>
    <t>Group</t>
  </si>
  <si>
    <t>Total Appts</t>
  </si>
  <si>
    <t>No-Show %</t>
  </si>
  <si>
    <t>No SMS Received</t>
  </si>
  <si>
    <t>SMS Received</t>
  </si>
  <si>
    <t>Chart 2 — Does Longer Wait = Higher No-Show Risk?</t>
  </si>
  <si>
    <t>Lead Time Group</t>
  </si>
  <si>
    <t>Same Day</t>
  </si>
  <si>
    <t>1–7 Days</t>
  </si>
  <si>
    <t>8–30 Days</t>
  </si>
  <si>
    <t>30+ Days</t>
  </si>
  <si>
    <t>📌 KEY INSIGHT:  Same-day appointments have a 21.4% no-show rate. This jumps to 33.0% for bookings made 30+ days in advance. The longer the gap between booking and appointment, the higher the no-show risk. This validates Lead Time as a key factor (15% weight) in our MediFlow Risk Scoring Model.</t>
  </si>
  <si>
    <t>Chart 3 — Which Age Group Has the Highest No-Show Rate?</t>
  </si>
  <si>
    <t>Age Group</t>
  </si>
  <si>
    <t>0–18</t>
  </si>
  <si>
    <t>19–35</t>
  </si>
  <si>
    <t>36–55</t>
  </si>
  <si>
    <t>56–75</t>
  </si>
  <si>
    <t>75+</t>
  </si>
  <si>
    <t>Chart 4 — Which Day of the Week Has the Most No-Shows?</t>
  </si>
  <si>
    <t>📌 KEY INSIGHT:  Monday has the highest no-show rate at 30.2%, while Wednesday is the most reliable at 27.1%. This validates Day of Week as a factor (15% weight) in the risk scoring model. Monday and Friday slots should receive more proactive confirmation requests.</t>
  </si>
  <si>
    <t>Impact Estimation — Before vs After MediFlow</t>
  </si>
  <si>
    <t>BEFORE vs AFTER COMPARISON</t>
  </si>
  <si>
    <t>Metric</t>
  </si>
  <si>
    <t>BEFORE (Current)</t>
  </si>
  <si>
    <t>AFTER (MediFlow)</t>
  </si>
  <si>
    <t>Improvement</t>
  </si>
  <si>
    <t>Daily No-Show Rate</t>
  </si>
  <si>
    <t>30%</t>
  </si>
  <si>
    <t>~8%</t>
  </si>
  <si>
    <t>↓ 22 percentage points</t>
  </si>
  <si>
    <t>Daily Slots Lost</t>
  </si>
  <si>
    <t>~12 slots</t>
  </si>
  <si>
    <t>~3 slots</t>
  </si>
  <si>
    <t>↓ 9 slots recovered/day</t>
  </si>
  <si>
    <t>Daily Revenue Loss</t>
  </si>
  <si>
    <t>₹4,200</t>
  </si>
  <si>
    <t>₹1,050</t>
  </si>
  <si>
    <t>↑ ₹3,150 recovered/day</t>
  </si>
  <si>
    <t>Average Patient Wait</t>
  </si>
  <si>
    <t>45 minutes</t>
  </si>
  <si>
    <t>~15 minutes</t>
  </si>
  <si>
    <t>↓ 30 minutes faster</t>
  </si>
  <si>
    <t>Staff Call Time/Day</t>
  </si>
  <si>
    <t>40 minutes</t>
  </si>
  <si>
    <t>~5 minutes</t>
  </si>
  <si>
    <t>↓ 35 minutes saved/day</t>
  </si>
  <si>
    <t>Slot Fill Rate</t>
  </si>
  <si>
    <t>~12%</t>
  </si>
  <si>
    <t>~87%</t>
  </si>
  <si>
    <t>↑ 75 percentage points</t>
  </si>
  <si>
    <t>MONTHLY &amp; ANNUAL PROJECTIONS (26 working days/month)</t>
  </si>
  <si>
    <t>Period</t>
  </si>
  <si>
    <t>Revenue Recovered</t>
  </si>
  <si>
    <t>Staff Hours Saved</t>
  </si>
  <si>
    <t>Slots Recovered</t>
  </si>
  <si>
    <t>Daily</t>
  </si>
  <si>
    <t>₹3,150</t>
  </si>
  <si>
    <t>35 minutes</t>
  </si>
  <si>
    <t>9 slots</t>
  </si>
  <si>
    <t>Monthly</t>
  </si>
  <si>
    <t>₹81,900</t>
  </si>
  <si>
    <t>~15 hours</t>
  </si>
  <si>
    <t>234 slots</t>
  </si>
  <si>
    <t>Annually</t>
  </si>
  <si>
    <t>₹9,82,800</t>
  </si>
  <si>
    <t>~182 hours</t>
  </si>
  <si>
    <t>2,808 slots</t>
  </si>
  <si>
    <t>🏆 PROJECT SUMMARY
This analysis of 71,959 real medical appointments confirms the MediFlow hypothesis: (1) Generic SMS reminders are insufficient — no-show rate barely changes. (2) Lead time is the strongest predictor — 30+ day bookings have 33% no-show rate vs 21% same-day. (3) Younger patients (19–35) are highest risk at 34.2%. By implementing the Risk Scoring Model + Automated Waitlist Backfill, Sunrise Medical Clinic can recover ₹9.8 lakhs in annual revenue and save 182 staff hours per year.</t>
  </si>
  <si>
    <t>Digital Waitlist Tracker — MediFlow System</t>
  </si>
  <si>
    <t>HOW TO USE: When a slot opens up, look at Priority Score — contact the TOP 3 patients first via WhatsApp broadcast</t>
  </si>
  <si>
    <t>Patient Name</t>
  </si>
  <si>
    <t>Phone</t>
  </si>
  <si>
    <t>Preferred Time</t>
  </si>
  <si>
    <t>Flexibility</t>
  </si>
  <si>
    <t>Waiting Since</t>
  </si>
  <si>
    <t>Priority Score</t>
  </si>
  <si>
    <t>Status</t>
  </si>
  <si>
    <t>Ramesh Kumar</t>
  </si>
  <si>
    <t>98XXXXXX01</t>
  </si>
  <si>
    <t>Morning (9–11am)</t>
  </si>
  <si>
    <t>High</t>
  </si>
  <si>
    <t>2 weeks</t>
  </si>
  <si>
    <t>READY</t>
  </si>
  <si>
    <t>Sunita Devi</t>
  </si>
  <si>
    <t>98XXXXXX02</t>
  </si>
  <si>
    <t>Any time</t>
  </si>
  <si>
    <t>3 weeks</t>
  </si>
  <si>
    <t>Arjun Mehta</t>
  </si>
  <si>
    <t>98XXXXXX03</t>
  </si>
  <si>
    <t>Evening (5–7pm)</t>
  </si>
  <si>
    <t>1 week</t>
  </si>
  <si>
    <t>Kavitha Nair</t>
  </si>
  <si>
    <t>98XXXXXX04</t>
  </si>
  <si>
    <t>Morning only</t>
  </si>
  <si>
    <t>Medium</t>
  </si>
  <si>
    <t>WAITING</t>
  </si>
  <si>
    <t>Deepak Singh</t>
  </si>
  <si>
    <t>98XXXXXX05</t>
  </si>
  <si>
    <t>Afternoon</t>
  </si>
  <si>
    <t>5 days</t>
  </si>
  <si>
    <t>Preethi Raj</t>
  </si>
  <si>
    <t>98XXXXXX06</t>
  </si>
  <si>
    <t>Low</t>
  </si>
  <si>
    <t>2 days</t>
  </si>
  <si>
    <t>Mohan Lal</t>
  </si>
  <si>
    <t>98XXXXXX07</t>
  </si>
  <si>
    <t>3 days</t>
  </si>
  <si>
    <t>Anita Sharma</t>
  </si>
  <si>
    <t>98XXXXXX08</t>
  </si>
  <si>
    <t>Evening only</t>
  </si>
  <si>
    <t>1 day</t>
  </si>
  <si>
    <t>Rajiv Verma</t>
  </si>
  <si>
    <t>98XXXXXX09</t>
  </si>
  <si>
    <t>4 days</t>
  </si>
  <si>
    <t>Fatima Begum</t>
  </si>
  <si>
    <t>98XXXXXX10</t>
  </si>
  <si>
    <t>📌 Priority Score Formula:  Higher score = contact first.  Score based on: Distance (closer = higher) + Flexibility (High = +30, Medium = +15, Low = 0) + Wait time (longer = higher)</t>
  </si>
  <si>
    <t xml:space="preserve"> KEY INSIGHT:  Even patients who received an SMS reminder had a 27.6% no-show rate — barely better than 29.4% for those without. This proves a single generic reminder is NOT enough. MediFlow's tiered smart reminder system (based on risk level) is required to meaningfully reduce no-shows.</t>
  </si>
  <si>
    <r>
      <t xml:space="preserve"> </t>
    </r>
    <r>
      <rPr>
        <i/>
        <sz val="8"/>
        <color rgb="FF0D1B2A"/>
        <rFont val="Arial"/>
        <family val="2"/>
      </rPr>
      <t>KEY INSIGHT:  Patients aged 19–35 have the highest no-show rate at 34.2%, closely followed by the 0–18 group at 33.2%. Older patients (56–75) are far more reliable at 20.9%. This validates Age as a risk factor — younger patients should be automatically flagged as higher risk in our MediFlow scoring model.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</si>
</sst>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5A6A7A"/>
      <name val="Arial"/>
    </font>
    <font>
      <b/>
      <sz val="9"/>
      <color rgb="FF5A6A7A"/>
      <name val="Arial"/>
    </font>
    <font>
      <sz val="9"/>
      <color rgb="FF5A6A7A"/>
      <name val="Arial"/>
    </font>
    <font>
      <b/>
      <sz val="18"/>
      <color rgb="FFFFFFFF"/>
      <name val="Arial"/>
    </font>
    <font>
      <b/>
      <sz val="18"/>
      <color rgb="FF0D1B2A"/>
      <name val="Arial"/>
    </font>
    <font>
      <b/>
      <sz val="10"/>
      <color rgb="FF3B82F6"/>
      <name val="Arial"/>
    </font>
    <font>
      <sz val="9"/>
      <color rgb="FF0D1B2A"/>
      <name val="Arial"/>
    </font>
    <font>
      <b/>
      <sz val="10"/>
      <color rgb="FFF4A261"/>
      <name val="Arial"/>
    </font>
    <font>
      <b/>
      <sz val="10"/>
      <color rgb="FFE63946"/>
      <name val="Arial"/>
    </font>
    <font>
      <b/>
      <sz val="15"/>
      <color rgb="FFFFFFFF"/>
      <name val="Arial"/>
    </font>
    <font>
      <b/>
      <sz val="10"/>
      <color rgb="FFFFFFFF"/>
      <name val="Arial"/>
    </font>
    <font>
      <sz val="10"/>
      <color rgb="FF0D1B2A"/>
      <name val="Arial"/>
    </font>
    <font>
      <b/>
      <sz val="11"/>
      <color rgb="FF00A878"/>
      <name val="Arial"/>
    </font>
    <font>
      <sz val="11"/>
      <color rgb="FF0D1B2A"/>
      <name val="Arial"/>
    </font>
    <font>
      <b/>
      <sz val="11"/>
      <color rgb="FF0D1B2A"/>
      <name val="Arial"/>
    </font>
    <font>
      <b/>
      <sz val="11"/>
      <color rgb="FFE63946"/>
      <name val="Arial"/>
    </font>
    <font>
      <b/>
      <sz val="11"/>
      <color rgb="FFF4A261"/>
      <name val="Arial"/>
    </font>
    <font>
      <i/>
      <sz val="10"/>
      <color rgb="FF0D1B2A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3B82F6"/>
      <name val="Arial"/>
    </font>
    <font>
      <b/>
      <sz val="10"/>
      <color rgb="FF00A878"/>
      <name val="Arial"/>
    </font>
    <font>
      <sz val="10"/>
      <color rgb="FF5A6A7A"/>
      <name val="Arial"/>
    </font>
    <font>
      <i/>
      <sz val="9"/>
      <color rgb="FF0D1B2A"/>
      <name val="Arial"/>
    </font>
    <font>
      <i/>
      <sz val="10"/>
      <color rgb="FF0D1B2A"/>
      <name val="Arial"/>
      <family val="2"/>
    </font>
    <font>
      <i/>
      <sz val="8"/>
      <color rgb="FF0D1B2A"/>
      <name val="Arial"/>
      <family val="2"/>
    </font>
    <font>
      <b/>
      <sz val="11"/>
      <color rgb="FF3B82F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0F4F8"/>
      </patternFill>
    </fill>
    <fill>
      <patternFill patternType="solid">
        <fgColor rgb="FFE63946"/>
      </patternFill>
    </fill>
    <fill>
      <patternFill patternType="solid">
        <fgColor rgb="FF00A878"/>
      </patternFill>
    </fill>
    <fill>
      <patternFill patternType="solid">
        <fgColor rgb="FFF4A261"/>
      </patternFill>
    </fill>
    <fill>
      <patternFill patternType="solid">
        <fgColor rgb="FF3B82F6"/>
      </patternFill>
    </fill>
    <fill>
      <patternFill patternType="solid">
        <fgColor rgb="FFEFF6FF"/>
      </patternFill>
    </fill>
    <fill>
      <patternFill patternType="solid">
        <fgColor rgb="FFFEF4EC"/>
      </patternFill>
    </fill>
    <fill>
      <patternFill patternType="solid">
        <fgColor rgb="FFFDEAEB"/>
      </patternFill>
    </fill>
    <fill>
      <patternFill patternType="solid">
        <fgColor rgb="FFFFFFFF"/>
      </patternFill>
    </fill>
    <fill>
      <patternFill patternType="solid">
        <fgColor rgb="FFE6F7F3"/>
      </patternFill>
    </fill>
  </fills>
  <borders count="4">
    <border>
      <left/>
      <right/>
      <top/>
      <bottom/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/>
      <right/>
      <top style="thin">
        <color rgb="FFDDE3EA"/>
      </top>
      <bottom style="thin">
        <color rgb="FFDDE3EA"/>
      </bottom>
      <diagonal/>
    </border>
    <border>
      <left/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3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/>
    </xf>
    <xf numFmtId="164" fontId="15" fillId="10" borderId="1" xfId="0" applyNumberFormat="1" applyFont="1" applyFill="1" applyBorder="1" applyAlignment="1">
      <alignment horizontal="center" vertical="center" wrapText="1"/>
    </xf>
    <xf numFmtId="164" fontId="15" fillId="12" borderId="1" xfId="0" applyNumberFormat="1" applyFont="1" applyFill="1" applyBorder="1" applyAlignment="1">
      <alignment horizontal="center" vertical="center" wrapText="1"/>
    </xf>
    <xf numFmtId="164" fontId="16" fillId="12" borderId="1" xfId="0" applyNumberFormat="1" applyFont="1" applyFill="1" applyBorder="1" applyAlignment="1">
      <alignment horizontal="center" vertical="center" wrapText="1"/>
    </xf>
    <xf numFmtId="164" fontId="16" fillId="9" borderId="1" xfId="0" applyNumberFormat="1" applyFont="1" applyFill="1" applyBorder="1" applyAlignment="1">
      <alignment horizontal="center" vertical="center" wrapText="1"/>
    </xf>
    <xf numFmtId="164" fontId="16" fillId="10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0" fillId="2" borderId="0" xfId="0" applyFont="1" applyFill="1" applyAlignment="1">
      <alignment horizontal="center" vertical="center" wrapText="1"/>
    </xf>
    <xf numFmtId="0" fontId="0" fillId="0" borderId="0" xfId="0"/>
    <xf numFmtId="0" fontId="25" fillId="1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19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26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19" fillId="1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No-Show Rate: With SMS vs Without SMS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'📱 Chart 1 — SMS'!$F$5</c:f>
              <c:strCache>
                <c:ptCount val="1"/>
                <c:pt idx="0">
                  <c:v>No-Show %</c:v>
                </c:pt>
              </c:strCache>
            </c:strRef>
          </c:tx>
          <c:spPr>
            <a:solidFill>
              <a:srgbClr val="E63946"/>
            </a:solidFill>
            <a:ln>
              <a:prstDash val="solid"/>
            </a:ln>
          </c:spPr>
          <c:invertIfNegative val="1"/>
          <c:cat>
            <c:strRef>
              <c:f>'📱 Chart 1 — SMS'!$B$6:$B$7</c:f>
              <c:strCache>
                <c:ptCount val="2"/>
                <c:pt idx="0">
                  <c:v>No SMS Received</c:v>
                </c:pt>
                <c:pt idx="1">
                  <c:v>SMS Received</c:v>
                </c:pt>
              </c:strCache>
            </c:strRef>
          </c:cat>
          <c:val>
            <c:numRef>
              <c:f>'📱 Chart 1 — SMS'!$F$6:$F$7</c:f>
              <c:numCache>
                <c:formatCode>0.0%</c:formatCode>
                <c:ptCount val="2"/>
                <c:pt idx="0">
                  <c:v>0.29437727883323739</c:v>
                </c:pt>
                <c:pt idx="1">
                  <c:v>0.27574544839637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772-4EC4-A9A5-204C81D9B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Group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No-Show Rate (%)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No-Show Rate by Appointment Lead Time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'⏱️ Chart 2 — Lead Time'!$F$5</c:f>
              <c:strCache>
                <c:ptCount val="1"/>
                <c:pt idx="0">
                  <c:v>No-Show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'⏱️ Chart 2 — Lead Time'!$B$6:$B$9</c:f>
              <c:strCache>
                <c:ptCount val="4"/>
                <c:pt idx="0">
                  <c:v>Same Day</c:v>
                </c:pt>
                <c:pt idx="1">
                  <c:v>1–7 Days</c:v>
                </c:pt>
                <c:pt idx="2">
                  <c:v>8–30 Days</c:v>
                </c:pt>
                <c:pt idx="3">
                  <c:v>30+ Days</c:v>
                </c:pt>
              </c:strCache>
            </c:strRef>
          </c:cat>
          <c:val>
            <c:numRef>
              <c:f>'⏱️ Chart 2 — Lead Time'!$F$6:$F$9</c:f>
              <c:numCache>
                <c:formatCode>0.0%</c:formatCode>
                <c:ptCount val="4"/>
                <c:pt idx="0">
                  <c:v>0.214</c:v>
                </c:pt>
                <c:pt idx="1">
                  <c:v>0.24</c:v>
                </c:pt>
                <c:pt idx="2">
                  <c:v>0.31</c:v>
                </c:pt>
                <c:pt idx="3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9-4500-A1B9-5FD52C09D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Lead Time Group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No-Show Rate (%)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No-Show Rate by Patient Age Group</a:t>
            </a:r>
          </a:p>
        </c:rich>
      </c:tx>
      <c:layout>
        <c:manualLayout>
          <c:xMode val="edge"/>
          <c:yMode val="edge"/>
          <c:x val="0.32768454861111113"/>
          <c:y val="4.703703703703703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1326808047852097E-2"/>
          <c:y val="2.5157232704402517E-2"/>
          <c:w val="0.84721155369445056"/>
          <c:h val="0.9385045422781271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'👥 Chart 3 — Age Group'!$F$5</c:f>
              <c:strCache>
                <c:ptCount val="1"/>
                <c:pt idx="0">
                  <c:v>No-Show %</c:v>
                </c:pt>
              </c:strCache>
            </c:strRef>
          </c:tx>
          <c:spPr>
            <a:solidFill>
              <a:srgbClr val="3B82F6"/>
            </a:solidFill>
            <a:ln>
              <a:prstDash val="solid"/>
            </a:ln>
          </c:spPr>
          <c:invertIfNegative val="1"/>
          <c:cat>
            <c:strRef>
              <c:f>'👥 Chart 3 — Age Group'!$B$6:$B$10</c:f>
              <c:strCache>
                <c:ptCount val="5"/>
                <c:pt idx="0">
                  <c:v>0–18</c:v>
                </c:pt>
                <c:pt idx="1">
                  <c:v>19–35</c:v>
                </c:pt>
                <c:pt idx="2">
                  <c:v>36–55</c:v>
                </c:pt>
                <c:pt idx="3">
                  <c:v>56–75</c:v>
                </c:pt>
                <c:pt idx="4">
                  <c:v>75+</c:v>
                </c:pt>
              </c:strCache>
            </c:strRef>
          </c:cat>
          <c:val>
            <c:numRef>
              <c:f>'👥 Chart 3 — Age Group'!$F$6:$F$10</c:f>
              <c:numCache>
                <c:formatCode>0.0%</c:formatCode>
                <c:ptCount val="5"/>
                <c:pt idx="0">
                  <c:v>0.33200000000000002</c:v>
                </c:pt>
                <c:pt idx="1">
                  <c:v>0.34200000000000003</c:v>
                </c:pt>
                <c:pt idx="2">
                  <c:v>0.27800000000000002</c:v>
                </c:pt>
                <c:pt idx="3">
                  <c:v>0.20899999999999999</c:v>
                </c:pt>
                <c:pt idx="4">
                  <c:v>0.222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F2D-46E1-9820-C036FB627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 Group</a:t>
                </a:r>
              </a:p>
            </c:rich>
          </c:tx>
          <c:layout>
            <c:manualLayout>
              <c:xMode val="edge"/>
              <c:yMode val="edge"/>
              <c:x val="0.39155451388888879"/>
              <c:y val="0.95530000000000015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No-Show Rate (%)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No-Show Rate by Day of Week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'📅 Chart 4 — Day of Week'!$F$5</c:f>
              <c:strCache>
                <c:ptCount val="1"/>
                <c:pt idx="0">
                  <c:v>No-Show %</c:v>
                </c:pt>
              </c:strCache>
            </c:strRef>
          </c:tx>
          <c:spPr>
            <a:solidFill>
              <a:srgbClr val="F4A261"/>
            </a:solidFill>
            <a:ln>
              <a:prstDash val="solid"/>
            </a:ln>
          </c:spPr>
          <c:invertIfNegative val="1"/>
          <c:cat>
            <c:strRef>
              <c:f>'📅 Chart 4 — Day of Week'!$B$6:$B$13</c:f>
              <c:strCache>
                <c:ptCount val="6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</c:strCache>
            </c:strRef>
          </c:cat>
          <c:val>
            <c:numRef>
              <c:f>'📅 Chart 4 — Day of Week'!$F$6:$F$11</c:f>
              <c:numCache>
                <c:formatCode>0.0%</c:formatCode>
                <c:ptCount val="6"/>
                <c:pt idx="0">
                  <c:v>0.30199999999999999</c:v>
                </c:pt>
                <c:pt idx="1">
                  <c:v>0.28699999999999998</c:v>
                </c:pt>
                <c:pt idx="2">
                  <c:v>0.27100000000000002</c:v>
                </c:pt>
                <c:pt idx="3">
                  <c:v>0.27300000000000002</c:v>
                </c:pt>
                <c:pt idx="4">
                  <c:v>0.29399999999999998</c:v>
                </c:pt>
                <c:pt idx="5">
                  <c:v>0.28999999999999998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785-4313-B9A1-88A26830B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Day of Week</a:t>
                </a:r>
              </a:p>
            </c:rich>
          </c:tx>
          <c:layout>
            <c:manualLayout>
              <c:xMode val="edge"/>
              <c:yMode val="edge"/>
              <c:x val="0.35691579861111106"/>
              <c:y val="0.95530000000000015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No-Show Rate (%)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54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10</xdr:row>
      <xdr:rowOff>142875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142874</xdr:colOff>
      <xdr:row>11</xdr:row>
      <xdr:rowOff>133349</xdr:rowOff>
    </xdr:from>
    <xdr:ext cx="5838825" cy="4543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180974</xdr:rowOff>
    </xdr:from>
    <xdr:ext cx="4772025" cy="4124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"/>
  <sheetViews>
    <sheetView showGridLines="0" workbookViewId="0">
      <selection activeCell="J3" sqref="J3"/>
    </sheetView>
  </sheetViews>
  <sheetFormatPr defaultRowHeight="15" x14ac:dyDescent="0.25"/>
  <cols>
    <col min="1" max="1" width="3" customWidth="1"/>
    <col min="2" max="8" width="18" customWidth="1"/>
  </cols>
  <sheetData>
    <row r="1" spans="2:8" ht="30" customHeight="1" x14ac:dyDescent="0.25">
      <c r="B1" s="57" t="s">
        <v>0</v>
      </c>
      <c r="C1" s="53"/>
      <c r="D1" s="53"/>
      <c r="E1" s="53"/>
      <c r="F1" s="53"/>
      <c r="G1" s="53"/>
      <c r="H1" s="53"/>
    </row>
    <row r="2" spans="2:8" ht="20.100000000000001" customHeight="1" x14ac:dyDescent="0.25">
      <c r="B2" s="53"/>
      <c r="C2" s="53"/>
      <c r="D2" s="53"/>
      <c r="E2" s="53"/>
      <c r="F2" s="53"/>
      <c r="G2" s="53"/>
      <c r="H2" s="53"/>
    </row>
    <row r="3" spans="2:8" ht="20.100000000000001" customHeight="1" x14ac:dyDescent="0.25">
      <c r="B3" s="55"/>
      <c r="C3" s="53"/>
      <c r="D3" s="53"/>
      <c r="E3" s="53"/>
      <c r="F3" s="53"/>
      <c r="G3" s="53"/>
      <c r="H3" s="53"/>
    </row>
    <row r="5" spans="2:8" ht="18" customHeight="1" x14ac:dyDescent="0.2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2:8" ht="32.1" customHeight="1" x14ac:dyDescent="0.25">
      <c r="B6" s="2" t="s">
        <v>8</v>
      </c>
      <c r="C6" s="3" t="s">
        <v>9</v>
      </c>
      <c r="D6" s="4" t="s">
        <v>10</v>
      </c>
      <c r="E6" s="3" t="s">
        <v>11</v>
      </c>
      <c r="F6" s="5" t="s">
        <v>12</v>
      </c>
      <c r="G6" s="6" t="s">
        <v>13</v>
      </c>
      <c r="H6" s="3" t="s">
        <v>14</v>
      </c>
    </row>
    <row r="7" spans="2:8" ht="21.95" customHeight="1" x14ac:dyDescent="0.25">
      <c r="B7" s="7"/>
      <c r="C7" s="8"/>
      <c r="D7" s="9"/>
      <c r="E7" s="8"/>
      <c r="F7" s="10"/>
      <c r="G7" s="11"/>
      <c r="H7" s="8"/>
    </row>
    <row r="9" spans="2:8" ht="20.100000000000001" customHeight="1" x14ac:dyDescent="0.25">
      <c r="B9" s="62" t="s">
        <v>15</v>
      </c>
      <c r="C9" s="53"/>
      <c r="D9" s="56" t="s">
        <v>16</v>
      </c>
      <c r="E9" s="53"/>
      <c r="F9" s="60" t="s">
        <v>17</v>
      </c>
      <c r="G9" s="53"/>
      <c r="H9" s="53"/>
    </row>
    <row r="10" spans="2:8" ht="30" customHeight="1" x14ac:dyDescent="0.25">
      <c r="B10" s="59" t="s">
        <v>18</v>
      </c>
      <c r="C10" s="53"/>
      <c r="D10" s="61" t="s">
        <v>19</v>
      </c>
      <c r="E10" s="53"/>
      <c r="F10" s="58" t="s">
        <v>20</v>
      </c>
      <c r="G10" s="53"/>
      <c r="H10" s="53"/>
    </row>
    <row r="11" spans="2:8" ht="30" customHeight="1" x14ac:dyDescent="0.25">
      <c r="B11" s="53"/>
      <c r="C11" s="53"/>
      <c r="D11" s="53"/>
      <c r="E11" s="53"/>
      <c r="F11" s="53"/>
      <c r="G11" s="53"/>
      <c r="H11" s="53"/>
    </row>
  </sheetData>
  <mergeCells count="8">
    <mergeCell ref="B3:H3"/>
    <mergeCell ref="D9:E9"/>
    <mergeCell ref="B1:H2"/>
    <mergeCell ref="F10:H11"/>
    <mergeCell ref="B10:C11"/>
    <mergeCell ref="F9:H9"/>
    <mergeCell ref="D10:E11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4"/>
  <sheetViews>
    <sheetView showGridLines="0" topLeftCell="A3" workbookViewId="0">
      <selection activeCell="H9" sqref="H9"/>
    </sheetView>
  </sheetViews>
  <sheetFormatPr defaultRowHeight="15" x14ac:dyDescent="0.25"/>
  <cols>
    <col min="1" max="1" width="3" customWidth="1"/>
    <col min="2" max="2" width="20" customWidth="1"/>
    <col min="3" max="3" width="8" customWidth="1"/>
    <col min="4" max="8" width="12" customWidth="1"/>
    <col min="9" max="9" width="14" customWidth="1"/>
    <col min="10" max="10" width="16" customWidth="1"/>
    <col min="11" max="11" width="22" customWidth="1"/>
  </cols>
  <sheetData>
    <row r="1" spans="2:12" ht="27.95" customHeight="1" x14ac:dyDescent="0.25">
      <c r="B1" s="63" t="s">
        <v>21</v>
      </c>
      <c r="C1" s="53"/>
      <c r="D1" s="53"/>
      <c r="E1" s="53"/>
      <c r="F1" s="53"/>
      <c r="G1" s="53"/>
      <c r="H1" s="53"/>
      <c r="I1" s="53"/>
      <c r="J1" s="53"/>
      <c r="K1" s="53"/>
    </row>
    <row r="2" spans="2:12" x14ac:dyDescent="0.25">
      <c r="B2" s="53"/>
      <c r="C2" s="53"/>
      <c r="D2" s="53"/>
      <c r="E2" s="53"/>
      <c r="F2" s="53"/>
      <c r="G2" s="53"/>
      <c r="H2" s="53"/>
      <c r="I2" s="53"/>
      <c r="J2" s="53"/>
      <c r="K2" s="53"/>
    </row>
    <row r="4" spans="2:12" x14ac:dyDescent="0.25">
      <c r="B4" s="12" t="s">
        <v>22</v>
      </c>
    </row>
    <row r="5" spans="2:12" ht="25.5" x14ac:dyDescent="0.25">
      <c r="B5" s="13" t="s">
        <v>23</v>
      </c>
      <c r="C5" s="13" t="s">
        <v>24</v>
      </c>
      <c r="D5" s="13" t="s">
        <v>25</v>
      </c>
    </row>
    <row r="6" spans="2:12" ht="20.100000000000001" customHeight="1" x14ac:dyDescent="0.25">
      <c r="B6" s="14" t="s">
        <v>26</v>
      </c>
      <c r="C6" s="15" t="s">
        <v>27</v>
      </c>
      <c r="D6" s="16" t="s">
        <v>28</v>
      </c>
    </row>
    <row r="7" spans="2:12" ht="20.100000000000001" customHeight="1" x14ac:dyDescent="0.25">
      <c r="B7" s="17" t="s">
        <v>29</v>
      </c>
      <c r="C7" s="18" t="s">
        <v>30</v>
      </c>
      <c r="D7" s="19" t="s">
        <v>31</v>
      </c>
    </row>
    <row r="8" spans="2:12" ht="20.100000000000001" customHeight="1" x14ac:dyDescent="0.25">
      <c r="B8" s="14" t="s">
        <v>32</v>
      </c>
      <c r="C8" s="15" t="s">
        <v>33</v>
      </c>
      <c r="D8" s="16" t="s">
        <v>34</v>
      </c>
    </row>
    <row r="9" spans="2:12" ht="20.100000000000001" customHeight="1" x14ac:dyDescent="0.25">
      <c r="B9" s="17" t="s">
        <v>35</v>
      </c>
      <c r="C9" s="18" t="s">
        <v>33</v>
      </c>
      <c r="D9" s="19" t="s">
        <v>36</v>
      </c>
    </row>
    <row r="10" spans="2:12" ht="20.100000000000001" customHeight="1" x14ac:dyDescent="0.25">
      <c r="B10" s="14" t="s">
        <v>37</v>
      </c>
      <c r="C10" s="15" t="s">
        <v>33</v>
      </c>
      <c r="D10" s="16" t="s">
        <v>38</v>
      </c>
    </row>
    <row r="13" spans="2:12" ht="18" customHeight="1" x14ac:dyDescent="0.25">
      <c r="B13" s="12" t="s">
        <v>39</v>
      </c>
    </row>
    <row r="14" spans="2:12" ht="21.95" customHeight="1" x14ac:dyDescent="0.25">
      <c r="B14" s="13" t="s">
        <v>40</v>
      </c>
      <c r="C14" s="13" t="s">
        <v>41</v>
      </c>
      <c r="D14" s="13" t="s">
        <v>42</v>
      </c>
      <c r="E14" s="13" t="s">
        <v>43</v>
      </c>
      <c r="F14" s="13" t="s">
        <v>44</v>
      </c>
      <c r="G14" s="13" t="s">
        <v>45</v>
      </c>
      <c r="H14" s="13" t="s">
        <v>46</v>
      </c>
      <c r="I14" s="13" t="s">
        <v>47</v>
      </c>
      <c r="J14" s="13" t="s">
        <v>48</v>
      </c>
      <c r="K14" s="13" t="s">
        <v>49</v>
      </c>
      <c r="L14" s="13"/>
    </row>
    <row r="15" spans="2:12" ht="20.100000000000001" customHeight="1" x14ac:dyDescent="0.25">
      <c r="B15" s="20" t="s">
        <v>50</v>
      </c>
      <c r="C15" s="21" t="s">
        <v>51</v>
      </c>
      <c r="D15" s="21">
        <v>34</v>
      </c>
      <c r="E15" s="21">
        <v>3</v>
      </c>
      <c r="F15" s="21">
        <v>12</v>
      </c>
      <c r="G15" s="21" t="s">
        <v>52</v>
      </c>
      <c r="H15" s="21">
        <v>35</v>
      </c>
      <c r="I15" s="22">
        <v>82</v>
      </c>
      <c r="J15" s="23" t="s">
        <v>53</v>
      </c>
      <c r="K15" s="24" t="s">
        <v>54</v>
      </c>
    </row>
    <row r="16" spans="2:12" ht="20.100000000000001" customHeight="1" x14ac:dyDescent="0.25">
      <c r="B16" s="25" t="s">
        <v>55</v>
      </c>
      <c r="C16" s="26" t="s">
        <v>56</v>
      </c>
      <c r="D16" s="26">
        <v>27</v>
      </c>
      <c r="E16" s="26">
        <v>1</v>
      </c>
      <c r="F16" s="26">
        <v>4</v>
      </c>
      <c r="G16" s="26" t="s">
        <v>57</v>
      </c>
      <c r="H16" s="26">
        <v>12</v>
      </c>
      <c r="I16" s="27">
        <v>51</v>
      </c>
      <c r="J16" s="28" t="s">
        <v>58</v>
      </c>
      <c r="K16" s="29" t="s">
        <v>59</v>
      </c>
    </row>
    <row r="17" spans="2:11" ht="20.100000000000001" customHeight="1" x14ac:dyDescent="0.25">
      <c r="B17" s="30" t="s">
        <v>60</v>
      </c>
      <c r="C17" s="21" t="s">
        <v>56</v>
      </c>
      <c r="D17" s="21">
        <v>45</v>
      </c>
      <c r="E17" s="21">
        <v>0</v>
      </c>
      <c r="F17" s="21">
        <v>1</v>
      </c>
      <c r="G17" s="21" t="s">
        <v>61</v>
      </c>
      <c r="H17" s="21">
        <v>3</v>
      </c>
      <c r="I17" s="31">
        <v>18</v>
      </c>
      <c r="J17" s="32" t="s">
        <v>62</v>
      </c>
      <c r="K17" s="33" t="s">
        <v>63</v>
      </c>
    </row>
    <row r="18" spans="2:11" ht="20.100000000000001" customHeight="1" x14ac:dyDescent="0.25">
      <c r="B18" s="20" t="s">
        <v>64</v>
      </c>
      <c r="C18" s="26" t="s">
        <v>51</v>
      </c>
      <c r="D18" s="26">
        <v>52</v>
      </c>
      <c r="E18" s="26">
        <v>2</v>
      </c>
      <c r="F18" s="26">
        <v>8</v>
      </c>
      <c r="G18" s="26" t="s">
        <v>65</v>
      </c>
      <c r="H18" s="26">
        <v>22</v>
      </c>
      <c r="I18" s="22">
        <v>71</v>
      </c>
      <c r="J18" s="23" t="s">
        <v>53</v>
      </c>
      <c r="K18" s="24" t="s">
        <v>54</v>
      </c>
    </row>
    <row r="19" spans="2:11" ht="20.100000000000001" customHeight="1" x14ac:dyDescent="0.25">
      <c r="B19" s="30" t="s">
        <v>66</v>
      </c>
      <c r="C19" s="21" t="s">
        <v>56</v>
      </c>
      <c r="D19" s="21">
        <v>61</v>
      </c>
      <c r="E19" s="21">
        <v>0</v>
      </c>
      <c r="F19" s="21">
        <v>2</v>
      </c>
      <c r="G19" s="21" t="s">
        <v>67</v>
      </c>
      <c r="H19" s="21">
        <v>6</v>
      </c>
      <c r="I19" s="31">
        <v>22</v>
      </c>
      <c r="J19" s="32" t="s">
        <v>62</v>
      </c>
      <c r="K19" s="33" t="s">
        <v>63</v>
      </c>
    </row>
    <row r="20" spans="2:11" ht="20.100000000000001" customHeight="1" x14ac:dyDescent="0.25">
      <c r="B20" s="20" t="s">
        <v>68</v>
      </c>
      <c r="C20" s="26" t="s">
        <v>51</v>
      </c>
      <c r="D20" s="26">
        <v>19</v>
      </c>
      <c r="E20" s="26">
        <v>4</v>
      </c>
      <c r="F20" s="26">
        <v>15</v>
      </c>
      <c r="G20" s="26" t="s">
        <v>52</v>
      </c>
      <c r="H20" s="26">
        <v>45</v>
      </c>
      <c r="I20" s="22">
        <v>88</v>
      </c>
      <c r="J20" s="23" t="s">
        <v>53</v>
      </c>
      <c r="K20" s="24" t="s">
        <v>54</v>
      </c>
    </row>
    <row r="21" spans="2:11" ht="20.100000000000001" customHeight="1" x14ac:dyDescent="0.25">
      <c r="B21" s="25" t="s">
        <v>69</v>
      </c>
      <c r="C21" s="21" t="s">
        <v>56</v>
      </c>
      <c r="D21" s="21">
        <v>38</v>
      </c>
      <c r="E21" s="21">
        <v>1</v>
      </c>
      <c r="F21" s="21">
        <v>5</v>
      </c>
      <c r="G21" s="21" t="s">
        <v>70</v>
      </c>
      <c r="H21" s="21">
        <v>9</v>
      </c>
      <c r="I21" s="27">
        <v>44</v>
      </c>
      <c r="J21" s="28" t="s">
        <v>58</v>
      </c>
      <c r="K21" s="29" t="s">
        <v>59</v>
      </c>
    </row>
    <row r="22" spans="2:11" ht="20.100000000000001" customHeight="1" x14ac:dyDescent="0.25">
      <c r="B22" s="30" t="s">
        <v>71</v>
      </c>
      <c r="C22" s="26" t="s">
        <v>51</v>
      </c>
      <c r="D22" s="26">
        <v>72</v>
      </c>
      <c r="E22" s="26">
        <v>0</v>
      </c>
      <c r="F22" s="26">
        <v>3</v>
      </c>
      <c r="G22" s="26" t="s">
        <v>57</v>
      </c>
      <c r="H22" s="26">
        <v>2</v>
      </c>
      <c r="I22" s="31">
        <v>15</v>
      </c>
      <c r="J22" s="32" t="s">
        <v>62</v>
      </c>
      <c r="K22" s="33" t="s">
        <v>63</v>
      </c>
    </row>
    <row r="24" spans="2:11" ht="21.95" customHeight="1" x14ac:dyDescent="0.25">
      <c r="B24" s="64"/>
      <c r="C24" s="53"/>
      <c r="D24" s="53"/>
      <c r="E24" s="53"/>
      <c r="F24" s="53"/>
      <c r="G24" s="53"/>
      <c r="H24" s="53"/>
      <c r="I24" s="53"/>
      <c r="J24" s="53"/>
      <c r="K24" s="53"/>
    </row>
  </sheetData>
  <mergeCells count="2">
    <mergeCell ref="B1:K2"/>
    <mergeCell ref="B24:K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8"/>
  <sheetViews>
    <sheetView showGridLines="0" topLeftCell="A5" workbookViewId="0">
      <selection activeCell="I12" sqref="I12"/>
    </sheetView>
  </sheetViews>
  <sheetFormatPr defaultRowHeight="15" x14ac:dyDescent="0.25"/>
  <cols>
    <col min="1" max="1" width="3" customWidth="1"/>
    <col min="2" max="2" width="22" customWidth="1"/>
    <col min="3" max="6" width="18" customWidth="1"/>
  </cols>
  <sheetData>
    <row r="1" spans="2:6" ht="27.95" customHeight="1" x14ac:dyDescent="0.25">
      <c r="B1" s="52" t="s">
        <v>72</v>
      </c>
      <c r="C1" s="53"/>
      <c r="D1" s="53"/>
      <c r="E1" s="53"/>
      <c r="F1" s="53"/>
    </row>
    <row r="2" spans="2:6" x14ac:dyDescent="0.25">
      <c r="B2" s="53"/>
      <c r="C2" s="53"/>
      <c r="D2" s="53"/>
      <c r="E2" s="53"/>
      <c r="F2" s="53"/>
    </row>
    <row r="4" spans="2:6" x14ac:dyDescent="0.25">
      <c r="B4" s="12" t="s">
        <v>73</v>
      </c>
    </row>
    <row r="5" spans="2:6" ht="21.95" customHeight="1" x14ac:dyDescent="0.25">
      <c r="B5" s="13" t="s">
        <v>74</v>
      </c>
      <c r="C5" s="13" t="s">
        <v>75</v>
      </c>
      <c r="D5" s="13" t="s">
        <v>2</v>
      </c>
      <c r="E5" s="13" t="s">
        <v>3</v>
      </c>
      <c r="F5" s="13" t="s">
        <v>76</v>
      </c>
    </row>
    <row r="6" spans="2:6" ht="21.95" customHeight="1" x14ac:dyDescent="0.25">
      <c r="B6" s="22" t="s">
        <v>77</v>
      </c>
      <c r="C6" s="20">
        <v>36477</v>
      </c>
      <c r="D6" s="20">
        <v>10738</v>
      </c>
      <c r="E6" s="20">
        <v>25739</v>
      </c>
      <c r="F6" s="34">
        <f>D6/C6</f>
        <v>0.29437727883323739</v>
      </c>
    </row>
    <row r="7" spans="2:6" ht="21.95" customHeight="1" x14ac:dyDescent="0.25">
      <c r="B7" s="31" t="s">
        <v>78</v>
      </c>
      <c r="C7" s="30">
        <v>35482</v>
      </c>
      <c r="D7" s="30">
        <v>9784</v>
      </c>
      <c r="E7" s="30">
        <v>25698</v>
      </c>
      <c r="F7" s="35">
        <f>D7/C7</f>
        <v>0.27574544839637</v>
      </c>
    </row>
    <row r="26" spans="7:11" ht="45" customHeight="1" x14ac:dyDescent="0.25">
      <c r="G26" s="64" t="s">
        <v>192</v>
      </c>
      <c r="H26" s="53"/>
      <c r="I26" s="53"/>
      <c r="J26" s="53"/>
      <c r="K26" s="53"/>
    </row>
    <row r="27" spans="7:11" ht="15" customHeight="1" x14ac:dyDescent="0.25">
      <c r="G27" s="65"/>
      <c r="H27" s="53"/>
      <c r="I27" s="53"/>
      <c r="J27" s="53"/>
      <c r="K27" s="53"/>
    </row>
    <row r="28" spans="7:11" ht="15" customHeight="1" x14ac:dyDescent="0.25">
      <c r="G28" s="65"/>
      <c r="H28" s="53"/>
      <c r="I28" s="53"/>
      <c r="J28" s="53"/>
      <c r="K28" s="53"/>
    </row>
  </sheetData>
  <mergeCells count="2">
    <mergeCell ref="G26:K28"/>
    <mergeCell ref="B1:F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27"/>
  <sheetViews>
    <sheetView showGridLines="0" topLeftCell="A12" workbookViewId="0">
      <selection activeCell="H24" sqref="H24:L26"/>
    </sheetView>
  </sheetViews>
  <sheetFormatPr defaultRowHeight="15" x14ac:dyDescent="0.25"/>
  <cols>
    <col min="1" max="1" width="3" customWidth="1"/>
    <col min="2" max="2" width="22" customWidth="1"/>
    <col min="3" max="6" width="18" customWidth="1"/>
  </cols>
  <sheetData>
    <row r="1" spans="2:6" ht="27.95" customHeight="1" x14ac:dyDescent="0.25">
      <c r="B1" s="52" t="s">
        <v>79</v>
      </c>
      <c r="C1" s="53"/>
      <c r="D1" s="53"/>
      <c r="E1" s="53"/>
      <c r="F1" s="53"/>
    </row>
    <row r="2" spans="2:6" x14ac:dyDescent="0.25">
      <c r="B2" s="53"/>
      <c r="C2" s="53"/>
      <c r="D2" s="53"/>
      <c r="E2" s="53"/>
      <c r="F2" s="53"/>
    </row>
    <row r="4" spans="2:6" x14ac:dyDescent="0.25">
      <c r="B4" s="12" t="s">
        <v>73</v>
      </c>
    </row>
    <row r="5" spans="2:6" ht="21.95" customHeight="1" x14ac:dyDescent="0.25">
      <c r="B5" s="13" t="s">
        <v>80</v>
      </c>
      <c r="C5" s="13" t="s">
        <v>75</v>
      </c>
      <c r="D5" s="13" t="s">
        <v>2</v>
      </c>
      <c r="E5" s="13" t="s">
        <v>3</v>
      </c>
      <c r="F5" s="13" t="s">
        <v>76</v>
      </c>
    </row>
    <row r="6" spans="2:6" ht="21.95" customHeight="1" x14ac:dyDescent="0.25">
      <c r="B6" s="31" t="s">
        <v>81</v>
      </c>
      <c r="C6" s="30">
        <v>5213</v>
      </c>
      <c r="D6" s="30">
        <v>1113</v>
      </c>
      <c r="E6" s="30">
        <v>4100</v>
      </c>
      <c r="F6" s="36">
        <v>0.214</v>
      </c>
    </row>
    <row r="7" spans="2:6" ht="21.95" customHeight="1" x14ac:dyDescent="0.25">
      <c r="B7" s="27" t="s">
        <v>82</v>
      </c>
      <c r="C7" s="25">
        <v>26972</v>
      </c>
      <c r="D7" s="25">
        <v>6659</v>
      </c>
      <c r="E7" s="25">
        <v>20313</v>
      </c>
      <c r="F7" s="37">
        <v>0.24</v>
      </c>
    </row>
    <row r="8" spans="2:6" ht="21.95" customHeight="1" x14ac:dyDescent="0.25">
      <c r="B8" s="22" t="s">
        <v>83</v>
      </c>
      <c r="C8" s="20">
        <v>29396</v>
      </c>
      <c r="D8" s="20">
        <v>9325</v>
      </c>
      <c r="E8" s="20">
        <v>20071</v>
      </c>
      <c r="F8" s="38">
        <v>0.31</v>
      </c>
    </row>
    <row r="9" spans="2:6" ht="21.95" customHeight="1" x14ac:dyDescent="0.25">
      <c r="B9" s="22" t="s">
        <v>84</v>
      </c>
      <c r="C9" s="20">
        <v>10378</v>
      </c>
      <c r="D9" s="20">
        <v>3425</v>
      </c>
      <c r="E9" s="20">
        <v>6953</v>
      </c>
      <c r="F9" s="38">
        <v>0.33</v>
      </c>
    </row>
    <row r="24" spans="8:12" x14ac:dyDescent="0.25">
      <c r="H24" s="66" t="s">
        <v>85</v>
      </c>
      <c r="I24" s="53"/>
      <c r="J24" s="53"/>
      <c r="K24" s="53"/>
      <c r="L24" s="53"/>
    </row>
    <row r="25" spans="8:12" x14ac:dyDescent="0.25">
      <c r="H25" s="67"/>
      <c r="I25" s="53"/>
      <c r="J25" s="53"/>
      <c r="K25" s="53"/>
      <c r="L25" s="53"/>
    </row>
    <row r="26" spans="8:12" x14ac:dyDescent="0.25">
      <c r="H26" s="67"/>
      <c r="I26" s="53"/>
      <c r="J26" s="53"/>
      <c r="K26" s="53"/>
      <c r="L26" s="53"/>
    </row>
    <row r="27" spans="8:12" ht="50.1" customHeight="1" x14ac:dyDescent="0.25"/>
  </sheetData>
  <mergeCells count="2">
    <mergeCell ref="B1:F2"/>
    <mergeCell ref="H24:L26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31"/>
  <sheetViews>
    <sheetView showGridLines="0" topLeftCell="A7" workbookViewId="0">
      <selection activeCell="K20" sqref="K20"/>
    </sheetView>
  </sheetViews>
  <sheetFormatPr defaultRowHeight="15" x14ac:dyDescent="0.25"/>
  <cols>
    <col min="1" max="1" width="3" customWidth="1"/>
    <col min="2" max="2" width="22" customWidth="1"/>
    <col min="3" max="6" width="18" customWidth="1"/>
  </cols>
  <sheetData>
    <row r="1" spans="2:6" ht="27.95" customHeight="1" x14ac:dyDescent="0.25">
      <c r="B1" s="52" t="s">
        <v>86</v>
      </c>
      <c r="C1" s="53"/>
      <c r="D1" s="53"/>
      <c r="E1" s="53"/>
      <c r="F1" s="53"/>
    </row>
    <row r="2" spans="2:6" x14ac:dyDescent="0.25">
      <c r="B2" s="53"/>
      <c r="C2" s="53"/>
      <c r="D2" s="53"/>
      <c r="E2" s="53"/>
      <c r="F2" s="53"/>
    </row>
    <row r="4" spans="2:6" x14ac:dyDescent="0.25">
      <c r="B4" s="12" t="s">
        <v>73</v>
      </c>
    </row>
    <row r="5" spans="2:6" ht="21.95" customHeight="1" x14ac:dyDescent="0.25">
      <c r="B5" s="13" t="s">
        <v>87</v>
      </c>
      <c r="C5" s="13" t="s">
        <v>75</v>
      </c>
      <c r="D5" s="13" t="s">
        <v>2</v>
      </c>
      <c r="E5" s="13" t="s">
        <v>3</v>
      </c>
      <c r="F5" s="13" t="s">
        <v>76</v>
      </c>
    </row>
    <row r="6" spans="2:6" ht="21.95" customHeight="1" x14ac:dyDescent="0.25">
      <c r="B6" s="27" t="s">
        <v>88</v>
      </c>
      <c r="C6" s="25">
        <v>14904</v>
      </c>
      <c r="D6" s="25">
        <v>4949</v>
      </c>
      <c r="E6" s="25">
        <v>9955</v>
      </c>
      <c r="F6" s="37">
        <v>0.33200000000000002</v>
      </c>
    </row>
    <row r="7" spans="2:6" ht="21.95" customHeight="1" x14ac:dyDescent="0.25">
      <c r="B7" s="22" t="s">
        <v>89</v>
      </c>
      <c r="C7" s="20">
        <v>15699</v>
      </c>
      <c r="D7" s="20">
        <v>5373</v>
      </c>
      <c r="E7" s="20">
        <v>10326</v>
      </c>
      <c r="F7" s="38">
        <v>0.34200000000000003</v>
      </c>
    </row>
    <row r="8" spans="2:6" ht="21.95" customHeight="1" x14ac:dyDescent="0.25">
      <c r="B8" s="27" t="s">
        <v>90</v>
      </c>
      <c r="C8" s="25">
        <v>19997</v>
      </c>
      <c r="D8" s="25">
        <v>5552</v>
      </c>
      <c r="E8" s="25">
        <v>14445</v>
      </c>
      <c r="F8" s="37">
        <v>0.27800000000000002</v>
      </c>
    </row>
    <row r="9" spans="2:6" ht="21.95" customHeight="1" x14ac:dyDescent="0.25">
      <c r="B9" s="31" t="s">
        <v>91</v>
      </c>
      <c r="C9" s="30">
        <v>15543</v>
      </c>
      <c r="D9" s="30">
        <v>3243</v>
      </c>
      <c r="E9" s="30">
        <v>12300</v>
      </c>
      <c r="F9" s="36">
        <v>0.20899999999999999</v>
      </c>
    </row>
    <row r="10" spans="2:6" ht="21.95" customHeight="1" x14ac:dyDescent="0.25">
      <c r="B10" s="31" t="s">
        <v>92</v>
      </c>
      <c r="C10" s="30">
        <v>3685</v>
      </c>
      <c r="D10" s="30">
        <v>817</v>
      </c>
      <c r="E10" s="30">
        <v>2868</v>
      </c>
      <c r="F10" s="36">
        <v>0.222</v>
      </c>
    </row>
    <row r="26" spans="8:12" x14ac:dyDescent="0.25">
      <c r="H26" s="68" t="s">
        <v>193</v>
      </c>
      <c r="I26" s="53"/>
      <c r="J26" s="53"/>
      <c r="K26" s="53"/>
      <c r="L26" s="53"/>
    </row>
    <row r="27" spans="8:12" x14ac:dyDescent="0.25">
      <c r="H27" s="69"/>
      <c r="I27" s="53"/>
      <c r="J27" s="53"/>
      <c r="K27" s="53"/>
      <c r="L27" s="53"/>
    </row>
    <row r="28" spans="8:12" ht="50.1" customHeight="1" x14ac:dyDescent="0.25">
      <c r="H28" s="69"/>
      <c r="I28" s="53"/>
      <c r="J28" s="53"/>
      <c r="K28" s="53"/>
      <c r="L28" s="53"/>
    </row>
    <row r="29" spans="8:12" x14ac:dyDescent="0.25">
      <c r="H29" s="70"/>
      <c r="I29" s="53"/>
      <c r="J29" s="53"/>
      <c r="K29" s="53"/>
      <c r="L29" s="53"/>
    </row>
    <row r="30" spans="8:12" x14ac:dyDescent="0.25">
      <c r="H30" s="69"/>
      <c r="I30" s="53"/>
      <c r="J30" s="53"/>
      <c r="K30" s="53"/>
      <c r="L30" s="53"/>
    </row>
    <row r="31" spans="8:12" x14ac:dyDescent="0.25">
      <c r="H31" s="69"/>
      <c r="I31" s="53"/>
      <c r="J31" s="53"/>
      <c r="K31" s="53"/>
      <c r="L31" s="53"/>
    </row>
  </sheetData>
  <mergeCells count="3">
    <mergeCell ref="B1:F2"/>
    <mergeCell ref="H26:L28"/>
    <mergeCell ref="H29:L3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29"/>
  <sheetViews>
    <sheetView showGridLines="0" topLeftCell="A3" workbookViewId="0">
      <selection activeCell="H16" sqref="H16"/>
    </sheetView>
  </sheetViews>
  <sheetFormatPr defaultRowHeight="15" x14ac:dyDescent="0.25"/>
  <cols>
    <col min="1" max="1" width="3" customWidth="1"/>
    <col min="2" max="2" width="22" customWidth="1"/>
    <col min="3" max="6" width="18" customWidth="1"/>
  </cols>
  <sheetData>
    <row r="1" spans="2:6" ht="27.95" customHeight="1" x14ac:dyDescent="0.25">
      <c r="B1" s="52" t="s">
        <v>93</v>
      </c>
      <c r="C1" s="53"/>
      <c r="D1" s="53"/>
      <c r="E1" s="53"/>
      <c r="F1" s="53"/>
    </row>
    <row r="2" spans="2:6" x14ac:dyDescent="0.25">
      <c r="B2" s="53"/>
      <c r="C2" s="53"/>
      <c r="D2" s="53"/>
      <c r="E2" s="53"/>
      <c r="F2" s="53"/>
    </row>
    <row r="4" spans="2:6" x14ac:dyDescent="0.25">
      <c r="B4" s="12" t="s">
        <v>73</v>
      </c>
    </row>
    <row r="5" spans="2:6" ht="21.95" customHeight="1" x14ac:dyDescent="0.25">
      <c r="B5" s="13" t="s">
        <v>32</v>
      </c>
      <c r="C5" s="13" t="s">
        <v>75</v>
      </c>
      <c r="D5" s="13" t="s">
        <v>2</v>
      </c>
      <c r="E5" s="13" t="s">
        <v>3</v>
      </c>
      <c r="F5" s="13" t="s">
        <v>76</v>
      </c>
    </row>
    <row r="6" spans="2:6" ht="21.95" customHeight="1" x14ac:dyDescent="0.25">
      <c r="B6" s="22" t="s">
        <v>52</v>
      </c>
      <c r="C6" s="21">
        <v>14581</v>
      </c>
      <c r="D6" s="21">
        <v>4405</v>
      </c>
      <c r="E6" s="21">
        <v>10176</v>
      </c>
      <c r="F6" s="38">
        <v>0.30199999999999999</v>
      </c>
    </row>
    <row r="7" spans="2:6" ht="21.95" customHeight="1" x14ac:dyDescent="0.25">
      <c r="B7" s="27" t="s">
        <v>70</v>
      </c>
      <c r="C7" s="26">
        <v>16462</v>
      </c>
      <c r="D7" s="26">
        <v>4719</v>
      </c>
      <c r="E7" s="26">
        <v>11743</v>
      </c>
      <c r="F7" s="37">
        <v>0.28699999999999998</v>
      </c>
    </row>
    <row r="8" spans="2:6" ht="21.95" customHeight="1" x14ac:dyDescent="0.25">
      <c r="B8" s="31" t="s">
        <v>57</v>
      </c>
      <c r="C8" s="21">
        <v>17044</v>
      </c>
      <c r="D8" s="21">
        <v>4627</v>
      </c>
      <c r="E8" s="21">
        <v>12417</v>
      </c>
      <c r="F8" s="36">
        <v>0.27100000000000002</v>
      </c>
    </row>
    <row r="9" spans="2:6" ht="21.95" customHeight="1" x14ac:dyDescent="0.25">
      <c r="B9" s="31" t="s">
        <v>67</v>
      </c>
      <c r="C9" s="26">
        <v>11325</v>
      </c>
      <c r="D9" s="26">
        <v>3088</v>
      </c>
      <c r="E9" s="26">
        <v>8237</v>
      </c>
      <c r="F9" s="36">
        <v>0.27300000000000002</v>
      </c>
    </row>
    <row r="10" spans="2:6" ht="21.95" customHeight="1" x14ac:dyDescent="0.25">
      <c r="B10" s="27" t="s">
        <v>61</v>
      </c>
      <c r="C10" s="21">
        <v>12516</v>
      </c>
      <c r="D10" s="21">
        <v>3674</v>
      </c>
      <c r="E10" s="21">
        <v>8842</v>
      </c>
      <c r="F10" s="37">
        <v>0.29399999999999998</v>
      </c>
    </row>
    <row r="11" spans="2:6" ht="21.95" customHeight="1" x14ac:dyDescent="0.25">
      <c r="B11" s="27" t="s">
        <v>65</v>
      </c>
      <c r="C11" s="26">
        <v>31</v>
      </c>
      <c r="D11" s="26">
        <v>9</v>
      </c>
      <c r="E11" s="26">
        <v>22</v>
      </c>
      <c r="F11" s="37">
        <v>0.28999999999999998</v>
      </c>
    </row>
    <row r="27" spans="8:12" x14ac:dyDescent="0.25">
      <c r="H27" s="66" t="s">
        <v>94</v>
      </c>
      <c r="I27" s="53"/>
      <c r="J27" s="53"/>
      <c r="K27" s="53"/>
      <c r="L27" s="53"/>
    </row>
    <row r="28" spans="8:12" x14ac:dyDescent="0.25">
      <c r="H28" s="67"/>
      <c r="I28" s="53"/>
      <c r="J28" s="53"/>
      <c r="K28" s="53"/>
      <c r="L28" s="53"/>
    </row>
    <row r="29" spans="8:12" ht="45" customHeight="1" x14ac:dyDescent="0.25">
      <c r="H29" s="67"/>
      <c r="I29" s="53"/>
      <c r="J29" s="53"/>
      <c r="K29" s="53"/>
      <c r="L29" s="53"/>
    </row>
  </sheetData>
  <mergeCells count="2">
    <mergeCell ref="H27:L29"/>
    <mergeCell ref="B1:F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36"/>
  <sheetViews>
    <sheetView showGridLines="0" tabSelected="1" workbookViewId="0">
      <selection activeCell="H10" sqref="H10:L13"/>
    </sheetView>
  </sheetViews>
  <sheetFormatPr defaultRowHeight="15" x14ac:dyDescent="0.25"/>
  <cols>
    <col min="1" max="1" width="3" customWidth="1"/>
    <col min="2" max="2" width="28" customWidth="1"/>
    <col min="3" max="6" width="20" customWidth="1"/>
    <col min="7" max="7" width="3" customWidth="1"/>
  </cols>
  <sheetData>
    <row r="1" spans="2:12" ht="27.95" customHeight="1" x14ac:dyDescent="0.25">
      <c r="B1" s="63" t="s">
        <v>95</v>
      </c>
      <c r="C1" s="53"/>
      <c r="D1" s="53"/>
      <c r="E1" s="53"/>
      <c r="F1" s="53"/>
    </row>
    <row r="2" spans="2:12" x14ac:dyDescent="0.25">
      <c r="B2" s="53"/>
      <c r="C2" s="53"/>
      <c r="D2" s="53"/>
      <c r="E2" s="53"/>
      <c r="F2" s="53"/>
    </row>
    <row r="4" spans="2:12" x14ac:dyDescent="0.25">
      <c r="B4" s="12" t="s">
        <v>96</v>
      </c>
    </row>
    <row r="5" spans="2:12" ht="21.95" customHeight="1" x14ac:dyDescent="0.25">
      <c r="B5" s="39" t="s">
        <v>97</v>
      </c>
      <c r="C5" s="40" t="s">
        <v>98</v>
      </c>
      <c r="D5" s="41" t="s">
        <v>99</v>
      </c>
      <c r="E5" s="42" t="s">
        <v>100</v>
      </c>
    </row>
    <row r="6" spans="2:12" ht="21.95" customHeight="1" x14ac:dyDescent="0.25">
      <c r="B6" s="21" t="s">
        <v>101</v>
      </c>
      <c r="C6" s="23" t="s">
        <v>102</v>
      </c>
      <c r="D6" s="32" t="s">
        <v>103</v>
      </c>
      <c r="E6" s="48" t="s">
        <v>104</v>
      </c>
    </row>
    <row r="7" spans="2:12" ht="21.95" customHeight="1" x14ac:dyDescent="0.25">
      <c r="B7" s="26" t="s">
        <v>105</v>
      </c>
      <c r="C7" s="23" t="s">
        <v>106</v>
      </c>
      <c r="D7" s="32" t="s">
        <v>107</v>
      </c>
      <c r="E7" s="48" t="s">
        <v>108</v>
      </c>
    </row>
    <row r="8" spans="2:12" ht="21.95" customHeight="1" x14ac:dyDescent="0.25">
      <c r="B8" s="21" t="s">
        <v>109</v>
      </c>
      <c r="C8" s="23" t="s">
        <v>110</v>
      </c>
      <c r="D8" s="32" t="s">
        <v>111</v>
      </c>
      <c r="E8" s="43" t="s">
        <v>112</v>
      </c>
    </row>
    <row r="9" spans="2:12" ht="21.95" customHeight="1" x14ac:dyDescent="0.25">
      <c r="B9" s="26" t="s">
        <v>113</v>
      </c>
      <c r="C9" s="23" t="s">
        <v>114</v>
      </c>
      <c r="D9" s="32" t="s">
        <v>115</v>
      </c>
      <c r="E9" s="43" t="s">
        <v>116</v>
      </c>
    </row>
    <row r="10" spans="2:12" ht="21.95" customHeight="1" x14ac:dyDescent="0.25">
      <c r="B10" s="21" t="s">
        <v>117</v>
      </c>
      <c r="C10" s="23" t="s">
        <v>118</v>
      </c>
      <c r="D10" s="32" t="s">
        <v>119</v>
      </c>
      <c r="E10" s="48" t="s">
        <v>120</v>
      </c>
      <c r="H10" s="71" t="s">
        <v>142</v>
      </c>
      <c r="I10" s="53"/>
      <c r="J10" s="53"/>
      <c r="K10" s="53"/>
      <c r="L10" s="53"/>
    </row>
    <row r="11" spans="2:12" ht="21.95" customHeight="1" x14ac:dyDescent="0.25">
      <c r="B11" s="26" t="s">
        <v>121</v>
      </c>
      <c r="C11" s="23" t="s">
        <v>122</v>
      </c>
      <c r="D11" s="32" t="s">
        <v>123</v>
      </c>
      <c r="E11" s="48" t="s">
        <v>124</v>
      </c>
      <c r="H11" s="72"/>
      <c r="I11" s="53"/>
      <c r="J11" s="53"/>
      <c r="K11" s="53"/>
      <c r="L11" s="53"/>
    </row>
    <row r="12" spans="2:12" x14ac:dyDescent="0.25">
      <c r="H12" s="72"/>
      <c r="I12" s="53"/>
      <c r="J12" s="53"/>
      <c r="K12" s="53"/>
      <c r="L12" s="53"/>
    </row>
    <row r="13" spans="2:12" x14ac:dyDescent="0.25">
      <c r="H13" s="72"/>
      <c r="I13" s="53"/>
      <c r="J13" s="53"/>
      <c r="K13" s="53"/>
      <c r="L13" s="53"/>
    </row>
    <row r="14" spans="2:12" ht="18" customHeight="1" x14ac:dyDescent="0.25">
      <c r="B14" s="12" t="s">
        <v>125</v>
      </c>
    </row>
    <row r="15" spans="2:12" ht="21.95" customHeight="1" x14ac:dyDescent="0.25">
      <c r="B15" s="13" t="s">
        <v>126</v>
      </c>
      <c r="C15" s="13" t="s">
        <v>127</v>
      </c>
      <c r="D15" s="13" t="s">
        <v>128</v>
      </c>
      <c r="E15" s="13" t="s">
        <v>129</v>
      </c>
    </row>
    <row r="16" spans="2:12" ht="21.95" customHeight="1" x14ac:dyDescent="0.25">
      <c r="B16" s="21" t="s">
        <v>130</v>
      </c>
      <c r="C16" s="21" t="s">
        <v>131</v>
      </c>
      <c r="D16" s="21" t="s">
        <v>132</v>
      </c>
      <c r="E16" s="21" t="s">
        <v>133</v>
      </c>
    </row>
    <row r="17" spans="2:5" ht="21.95" customHeight="1" x14ac:dyDescent="0.25">
      <c r="B17" s="25" t="s">
        <v>134</v>
      </c>
      <c r="C17" s="25" t="s">
        <v>135</v>
      </c>
      <c r="D17" s="25" t="s">
        <v>136</v>
      </c>
      <c r="E17" s="25" t="s">
        <v>137</v>
      </c>
    </row>
    <row r="18" spans="2:5" ht="21.95" customHeight="1" x14ac:dyDescent="0.25">
      <c r="B18" s="32" t="s">
        <v>138</v>
      </c>
      <c r="C18" s="32" t="s">
        <v>139</v>
      </c>
      <c r="D18" s="32" t="s">
        <v>140</v>
      </c>
      <c r="E18" s="32" t="s">
        <v>141</v>
      </c>
    </row>
    <row r="33" ht="35.1" customHeight="1" x14ac:dyDescent="0.25"/>
    <row r="34" ht="24.95" customHeight="1" x14ac:dyDescent="0.25"/>
    <row r="35" ht="24.95" customHeight="1" x14ac:dyDescent="0.25"/>
    <row r="36" ht="24.95" customHeight="1" x14ac:dyDescent="0.25"/>
  </sheetData>
  <mergeCells count="2">
    <mergeCell ref="B1:F2"/>
    <mergeCell ref="H10:L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7"/>
  <sheetViews>
    <sheetView showGridLines="0" workbookViewId="0"/>
  </sheetViews>
  <sheetFormatPr defaultRowHeight="15" x14ac:dyDescent="0.25"/>
  <cols>
    <col min="1" max="1" width="3" customWidth="1"/>
    <col min="2" max="2" width="20" customWidth="1"/>
    <col min="3" max="3" width="14" customWidth="1"/>
    <col min="4" max="4" width="16" customWidth="1"/>
    <col min="5" max="6" width="14" customWidth="1"/>
    <col min="7" max="7" width="16" customWidth="1"/>
    <col min="8" max="9" width="18" customWidth="1"/>
    <col min="10" max="10" width="3" customWidth="1"/>
  </cols>
  <sheetData>
    <row r="1" spans="2:9" ht="27.95" customHeight="1" x14ac:dyDescent="0.25">
      <c r="B1" s="52" t="s">
        <v>143</v>
      </c>
      <c r="C1" s="53"/>
      <c r="D1" s="53"/>
      <c r="E1" s="53"/>
      <c r="F1" s="53"/>
      <c r="G1" s="53"/>
      <c r="H1" s="53"/>
      <c r="I1" s="53"/>
    </row>
    <row r="2" spans="2:9" x14ac:dyDescent="0.25">
      <c r="B2" s="53"/>
      <c r="C2" s="53"/>
      <c r="D2" s="53"/>
      <c r="E2" s="53"/>
      <c r="F2" s="53"/>
      <c r="G2" s="53"/>
      <c r="H2" s="53"/>
      <c r="I2" s="53"/>
    </row>
    <row r="4" spans="2:9" x14ac:dyDescent="0.25">
      <c r="B4" s="49" t="s">
        <v>144</v>
      </c>
      <c r="C4" s="50"/>
      <c r="D4" s="50"/>
      <c r="E4" s="50"/>
      <c r="F4" s="50"/>
      <c r="G4" s="50"/>
      <c r="H4" s="50"/>
      <c r="I4" s="51"/>
    </row>
    <row r="5" spans="2:9" ht="21.95" customHeight="1" x14ac:dyDescent="0.25">
      <c r="B5" s="13" t="s">
        <v>145</v>
      </c>
      <c r="C5" s="13" t="s">
        <v>146</v>
      </c>
      <c r="D5" s="13" t="s">
        <v>147</v>
      </c>
      <c r="E5" s="13" t="s">
        <v>44</v>
      </c>
      <c r="F5" s="13" t="s">
        <v>148</v>
      </c>
      <c r="G5" s="13" t="s">
        <v>149</v>
      </c>
      <c r="H5" s="13" t="s">
        <v>150</v>
      </c>
      <c r="I5" s="13" t="s">
        <v>151</v>
      </c>
    </row>
    <row r="6" spans="2:9" ht="20.100000000000001" customHeight="1" x14ac:dyDescent="0.25">
      <c r="B6" s="14" t="s">
        <v>152</v>
      </c>
      <c r="C6" s="14" t="s">
        <v>153</v>
      </c>
      <c r="D6" s="14" t="s">
        <v>154</v>
      </c>
      <c r="E6" s="14">
        <v>1.2</v>
      </c>
      <c r="F6" s="44" t="s">
        <v>155</v>
      </c>
      <c r="G6" s="14" t="s">
        <v>156</v>
      </c>
      <c r="H6" s="31">
        <v>95</v>
      </c>
      <c r="I6" s="44" t="s">
        <v>157</v>
      </c>
    </row>
    <row r="7" spans="2:9" ht="20.100000000000001" customHeight="1" x14ac:dyDescent="0.25">
      <c r="B7" s="17" t="s">
        <v>158</v>
      </c>
      <c r="C7" s="17" t="s">
        <v>159</v>
      </c>
      <c r="D7" s="17" t="s">
        <v>160</v>
      </c>
      <c r="E7" s="17">
        <v>0.8</v>
      </c>
      <c r="F7" s="44" t="s">
        <v>155</v>
      </c>
      <c r="G7" s="17" t="s">
        <v>161</v>
      </c>
      <c r="H7" s="31">
        <v>93</v>
      </c>
      <c r="I7" s="44" t="s">
        <v>157</v>
      </c>
    </row>
    <row r="8" spans="2:9" ht="20.100000000000001" customHeight="1" x14ac:dyDescent="0.25">
      <c r="B8" s="14" t="s">
        <v>162</v>
      </c>
      <c r="C8" s="14" t="s">
        <v>163</v>
      </c>
      <c r="D8" s="14" t="s">
        <v>164</v>
      </c>
      <c r="E8" s="14">
        <v>2.1</v>
      </c>
      <c r="F8" s="44" t="s">
        <v>155</v>
      </c>
      <c r="G8" s="14" t="s">
        <v>165</v>
      </c>
      <c r="H8" s="31">
        <v>88</v>
      </c>
      <c r="I8" s="44" t="s">
        <v>157</v>
      </c>
    </row>
    <row r="9" spans="2:9" ht="20.100000000000001" customHeight="1" x14ac:dyDescent="0.25">
      <c r="B9" s="17" t="s">
        <v>166</v>
      </c>
      <c r="C9" s="17" t="s">
        <v>167</v>
      </c>
      <c r="D9" s="17" t="s">
        <v>168</v>
      </c>
      <c r="E9" s="17">
        <v>3.4</v>
      </c>
      <c r="F9" s="45" t="s">
        <v>169</v>
      </c>
      <c r="G9" s="17" t="s">
        <v>165</v>
      </c>
      <c r="H9" s="27">
        <v>72</v>
      </c>
      <c r="I9" s="46" t="s">
        <v>170</v>
      </c>
    </row>
    <row r="10" spans="2:9" ht="20.100000000000001" customHeight="1" x14ac:dyDescent="0.25">
      <c r="B10" s="14" t="s">
        <v>171</v>
      </c>
      <c r="C10" s="14" t="s">
        <v>172</v>
      </c>
      <c r="D10" s="14" t="s">
        <v>173</v>
      </c>
      <c r="E10" s="14">
        <v>4</v>
      </c>
      <c r="F10" s="45" t="s">
        <v>169</v>
      </c>
      <c r="G10" s="14" t="s">
        <v>174</v>
      </c>
      <c r="H10" s="27">
        <v>68</v>
      </c>
      <c r="I10" s="46" t="s">
        <v>170</v>
      </c>
    </row>
    <row r="11" spans="2:9" ht="20.100000000000001" customHeight="1" x14ac:dyDescent="0.25">
      <c r="B11" s="17" t="s">
        <v>175</v>
      </c>
      <c r="C11" s="17" t="s">
        <v>176</v>
      </c>
      <c r="D11" s="17" t="s">
        <v>160</v>
      </c>
      <c r="E11" s="17">
        <v>5.5</v>
      </c>
      <c r="F11" s="47" t="s">
        <v>177</v>
      </c>
      <c r="G11" s="17" t="s">
        <v>178</v>
      </c>
      <c r="H11" s="22">
        <v>55</v>
      </c>
      <c r="I11" s="46" t="s">
        <v>170</v>
      </c>
    </row>
    <row r="12" spans="2:9" ht="20.100000000000001" customHeight="1" x14ac:dyDescent="0.25">
      <c r="B12" s="14" t="s">
        <v>179</v>
      </c>
      <c r="C12" s="14" t="s">
        <v>180</v>
      </c>
      <c r="D12" s="14" t="s">
        <v>168</v>
      </c>
      <c r="E12" s="14">
        <v>7.2</v>
      </c>
      <c r="F12" s="47" t="s">
        <v>177</v>
      </c>
      <c r="G12" s="14" t="s">
        <v>181</v>
      </c>
      <c r="H12" s="22">
        <v>42</v>
      </c>
      <c r="I12" s="46" t="s">
        <v>170</v>
      </c>
    </row>
    <row r="13" spans="2:9" ht="20.100000000000001" customHeight="1" x14ac:dyDescent="0.25">
      <c r="B13" s="17" t="s">
        <v>182</v>
      </c>
      <c r="C13" s="17" t="s">
        <v>183</v>
      </c>
      <c r="D13" s="17" t="s">
        <v>184</v>
      </c>
      <c r="E13" s="17">
        <v>8</v>
      </c>
      <c r="F13" s="47" t="s">
        <v>177</v>
      </c>
      <c r="G13" s="17" t="s">
        <v>185</v>
      </c>
      <c r="H13" s="22">
        <v>38</v>
      </c>
      <c r="I13" s="46" t="s">
        <v>170</v>
      </c>
    </row>
    <row r="14" spans="2:9" ht="20.100000000000001" customHeight="1" x14ac:dyDescent="0.25">
      <c r="B14" s="14" t="s">
        <v>186</v>
      </c>
      <c r="C14" s="14" t="s">
        <v>187</v>
      </c>
      <c r="D14" s="14" t="s">
        <v>160</v>
      </c>
      <c r="E14" s="14">
        <v>9.1</v>
      </c>
      <c r="F14" s="45" t="s">
        <v>169</v>
      </c>
      <c r="G14" s="14" t="s">
        <v>188</v>
      </c>
      <c r="H14" s="22">
        <v>51</v>
      </c>
      <c r="I14" s="46" t="s">
        <v>170</v>
      </c>
    </row>
    <row r="15" spans="2:9" ht="20.100000000000001" customHeight="1" x14ac:dyDescent="0.25">
      <c r="B15" s="17" t="s">
        <v>189</v>
      </c>
      <c r="C15" s="17" t="s">
        <v>190</v>
      </c>
      <c r="D15" s="17" t="s">
        <v>154</v>
      </c>
      <c r="E15" s="17">
        <v>1.5</v>
      </c>
      <c r="F15" s="44" t="s">
        <v>155</v>
      </c>
      <c r="G15" s="17" t="s">
        <v>156</v>
      </c>
      <c r="H15" s="31">
        <v>91</v>
      </c>
      <c r="I15" s="44" t="s">
        <v>157</v>
      </c>
    </row>
    <row r="17" spans="2:9" ht="30" customHeight="1" x14ac:dyDescent="0.25">
      <c r="B17" s="54" t="s">
        <v>191</v>
      </c>
      <c r="C17" s="53"/>
      <c r="D17" s="53"/>
      <c r="E17" s="53"/>
      <c r="F17" s="53"/>
      <c r="G17" s="53"/>
      <c r="H17" s="53"/>
      <c r="I17" s="53"/>
    </row>
  </sheetData>
  <mergeCells count="3">
    <mergeCell ref="B4:I4"/>
    <mergeCell ref="B1:I2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Overview</vt:lpstr>
      <vt:lpstr>🧮 Risk Score Model</vt:lpstr>
      <vt:lpstr>📱 Chart 1 — SMS</vt:lpstr>
      <vt:lpstr>⏱️ Chart 2 — Lead Time</vt:lpstr>
      <vt:lpstr>👥 Chart 3 — Age Group</vt:lpstr>
      <vt:lpstr>📅 Chart 4 — Day of Week</vt:lpstr>
      <vt:lpstr>📈 Impact Estimation</vt:lpstr>
      <vt:lpstr>📋 Waitlist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khalkhoshutosh@outlook.com</cp:lastModifiedBy>
  <dcterms:created xsi:type="dcterms:W3CDTF">2026-06-08T06:46:23Z</dcterms:created>
  <dcterms:modified xsi:type="dcterms:W3CDTF">2026-06-09T16:48:05Z</dcterms:modified>
</cp:coreProperties>
</file>